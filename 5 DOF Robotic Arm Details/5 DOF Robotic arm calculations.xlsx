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11" i="1" l="1"/>
  <c r="K9" i="1"/>
  <c r="K7" i="1"/>
  <c r="C10" i="1" l="1"/>
  <c r="C9" i="1" s="1"/>
  <c r="C8" i="1" s="1"/>
  <c r="F12" i="1"/>
  <c r="H12" i="1"/>
  <c r="K5" i="1"/>
  <c r="N5" i="1" s="1"/>
  <c r="N7" i="1"/>
  <c r="N9" i="1"/>
  <c r="N11" i="1"/>
  <c r="K4" i="1"/>
  <c r="N4" i="1" s="1"/>
  <c r="F10" i="1" l="1"/>
  <c r="G10" i="1" s="1"/>
  <c r="H10" i="1" s="1"/>
  <c r="C7" i="1"/>
  <c r="F8" i="1"/>
  <c r="G8" i="1" s="1"/>
  <c r="H8" i="1" s="1"/>
  <c r="E11" i="1"/>
  <c r="F11" i="1" s="1"/>
  <c r="G11" i="1" s="1"/>
  <c r="H11" i="1" s="1"/>
  <c r="C6" i="1" l="1"/>
  <c r="E9" i="1"/>
  <c r="F9" i="1" s="1"/>
  <c r="G9" i="1" s="1"/>
  <c r="H9" i="1" s="1"/>
  <c r="C5" i="1" l="1"/>
  <c r="F6" i="1"/>
  <c r="G6" i="1" s="1"/>
  <c r="H6" i="1" s="1"/>
  <c r="E7" i="1"/>
  <c r="F7" i="1" s="1"/>
  <c r="G7" i="1" s="1"/>
  <c r="H7" i="1" s="1"/>
  <c r="C4" i="1" l="1"/>
  <c r="E5" i="1"/>
  <c r="F5" i="1" s="1"/>
  <c r="G5" i="1" s="1"/>
  <c r="H5" i="1" s="1"/>
  <c r="C3" i="1" l="1"/>
  <c r="E4" i="1"/>
  <c r="F4" i="1" l="1"/>
  <c r="G4" i="1" s="1"/>
  <c r="H4" i="1" s="1"/>
  <c r="E3" i="1"/>
</calcChain>
</file>

<file path=xl/sharedStrings.xml><?xml version="1.0" encoding="utf-8"?>
<sst xmlns="http://schemas.openxmlformats.org/spreadsheetml/2006/main" count="47" uniqueCount="42">
  <si>
    <t>Base</t>
  </si>
  <si>
    <t>J1 - Base</t>
  </si>
  <si>
    <t>J2 - Shoulder</t>
  </si>
  <si>
    <t>J3 - Elbow</t>
  </si>
  <si>
    <t>J4 - Wrist Pitch</t>
  </si>
  <si>
    <t>Gearbox Ratio</t>
  </si>
  <si>
    <t>Gearbox Torque (Nm)</t>
  </si>
  <si>
    <t>Link / Joint</t>
  </si>
  <si>
    <t>Length (mm)</t>
  </si>
  <si>
    <t>Weight (Kg)</t>
  </si>
  <si>
    <t>Cumulative Weight</t>
  </si>
  <si>
    <t>PAYLOAD</t>
  </si>
  <si>
    <t>Motor Holding Torque (Nm)</t>
  </si>
  <si>
    <t>Gearbox Efficiency (%)</t>
  </si>
  <si>
    <t>Motor Stall Torque (Nm)</t>
  </si>
  <si>
    <t>Intertia (kg·m²)</t>
  </si>
  <si>
    <t>Required Torque</t>
  </si>
  <si>
    <t>Cumulative Length (mm)</t>
  </si>
  <si>
    <t>Dynamic Torque</t>
  </si>
  <si>
    <t>Wrist + Wirst roll motorbox</t>
  </si>
  <si>
    <t>J5 - Wrist Roll Gripper</t>
  </si>
  <si>
    <t>Fore Arm + Wrist pitch motorbox</t>
  </si>
  <si>
    <t>Upper Arm + Elbow Motorbox</t>
  </si>
  <si>
    <t>Buffered Required Torque</t>
  </si>
  <si>
    <t>Motor + Gear Box Torque</t>
  </si>
  <si>
    <t>Robotic Arm Torque</t>
  </si>
  <si>
    <t>Voltage</t>
  </si>
  <si>
    <t>Driver</t>
  </si>
  <si>
    <t>Current (Amps)</t>
  </si>
  <si>
    <t>DM860H</t>
  </si>
  <si>
    <t>Motor Power Rating</t>
  </si>
  <si>
    <t>Motor Details</t>
  </si>
  <si>
    <t xml:space="preserve">https://robokits.co.in/motors/stepper-motor/stepper-motor-without-gearbox/nema34-stepper-motor-120kgcm-torque </t>
  </si>
  <si>
    <t>Motor Details2</t>
  </si>
  <si>
    <t>Nema 34 (120KGCM)</t>
  </si>
  <si>
    <t>Nema 23+Planetary Gearbox (120KGCM)</t>
  </si>
  <si>
    <t xml:space="preserve">https://robokits.co.in/motors/stepper-motor/stepper-motor-with-gearbox/nema23-planetary-geared-stepper-motor-120kgcm </t>
  </si>
  <si>
    <t>DM542</t>
  </si>
  <si>
    <t>Nema 23 (28KGCM)</t>
  </si>
  <si>
    <t xml:space="preserve">https://robokits.co.in/motors/stepper-motor/stepper-motor-without-gearbox/nema23-stepper-motor-28kgcm-torque </t>
  </si>
  <si>
    <t xml:space="preserve">https://robokits.co.in/motors/stepper-motor/stepper-motor-without-gearbox/nema34-stepper-motor-85kgcm-torque </t>
  </si>
  <si>
    <t>Nema 34 (85KGCM)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</si>
</sst>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9" fontId="1" fillId="0" borderId="13" xfId="1" applyFont="1" applyBorder="1" applyAlignment="1">
      <alignment horizontal="center" vertical="center"/>
    </xf>
    <xf numFmtId="9" fontId="1" fillId="0" borderId="5" xfId="1" applyFont="1" applyBorder="1" applyAlignment="1">
      <alignment horizontal="center" vertical="center"/>
    </xf>
    <xf numFmtId="9" fontId="1" fillId="2" borderId="5" xfId="1" applyFont="1" applyFill="1" applyBorder="1" applyAlignment="1">
      <alignment horizontal="center" vertical="center"/>
    </xf>
    <xf numFmtId="9" fontId="1" fillId="0" borderId="8" xfId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5" fillId="2" borderId="5" xfId="2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5" fillId="0" borderId="5" xfId="2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auto="1"/>
        </top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S12" headerRowDxfId="43" dataDxfId="41" totalsRowDxfId="39" headerRowBorderDxfId="42" tableBorderDxfId="40" totalsRowBorderDxfId="38">
  <tableColumns count="19">
    <tableColumn id="1" name="Link / Joint" totalsRowLabel="Total" dataDxfId="37" totalsRowDxfId="36"/>
    <tableColumn id="2" name="Length (mm)" dataDxfId="35" totalsRowDxfId="34"/>
    <tableColumn id="15" name="Cumulative Length (mm)" dataDxfId="33" totalsRowDxfId="32"/>
    <tableColumn id="3" name="Weight (Kg)" dataDxfId="31" totalsRowDxfId="30"/>
    <tableColumn id="4" name="Cumulative Weight" dataDxfId="29" totalsRowDxfId="28"/>
    <tableColumn id="12" name="Intertia (kg·m²)" dataDxfId="27" totalsRowDxfId="26">
      <calculatedColumnFormula>Table1[[#This Row],[Cumulative Weight]]*(Table1[[#This Row],[Cumulative Length (mm)]]/1000)*(Table1[[#This Row],[Cumulative Length (mm)]]/1000)</calculatedColumnFormula>
    </tableColumn>
    <tableColumn id="16" name="Dynamic Torque" dataDxfId="25" totalsRowDxfId="24"/>
    <tableColumn id="13" name="Required Torque" dataDxfId="23" totalsRowDxfId="22">
      <calculatedColumnFormula>Table1[[#This Row],[Cumulative Weight]]*9.8*B2</calculatedColumnFormula>
    </tableColumn>
    <tableColumn id="9" name="Buffered Required Torque" dataDxfId="21" totalsRowDxfId="20"/>
    <tableColumn id="11" name="Motor Stall Torque (Nm)" dataDxfId="19" totalsRowDxfId="18"/>
    <tableColumn id="5" name="Motor Holding Torque (Nm)" dataDxfId="17" totalsRowDxfId="16"/>
    <tableColumn id="6" name="Gearbox Ratio" dataDxfId="15" totalsRowDxfId="14"/>
    <tableColumn id="10" name="Gearbox Efficiency (%)" dataDxfId="13" totalsRowDxfId="12" dataCellStyle="Percent"/>
    <tableColumn id="7" name="Gearbox Torque (Nm)" dataDxfId="5" totalsRowDxfId="11"/>
    <tableColumn id="8" name="Motor Details" dataDxfId="4" totalsRowDxfId="6"/>
    <tableColumn id="14" name="Voltage" dataDxfId="3" totalsRowDxfId="10"/>
    <tableColumn id="17" name="Current (Amps)" dataDxfId="2" totalsRowDxfId="9"/>
    <tableColumn id="19" name="Driver" dataDxfId="1" totalsRowDxfId="8"/>
    <tableColumn id="18" name="Motor Details2" dataDxfId="0" totalsRow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obokits.co.in/motors/stepper-motor/stepper-motor-without-gearbox/nema23-stepper-motor-28kgcm-torque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robokits.co.in/motors/stepper-motor/stepper-motor-with-gearbox/nema23-planetary-geared-stepper-motor-120kgcm" TargetMode="External"/><Relationship Id="rId1" Type="http://schemas.openxmlformats.org/officeDocument/2006/relationships/hyperlink" Target="https://robokits.co.in/motors/stepper-motor/stepper-motor-without-gearbox/nema34-stepper-motor-120kgcm-torque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robokits.co.in/motors/stepper-motor/stepper-motor-without-gearbox/nema34-stepper-motor-85kgcm-torque" TargetMode="External"/><Relationship Id="rId4" Type="http://schemas.openxmlformats.org/officeDocument/2006/relationships/hyperlink" Target="https://robokits.co.in/motors/stepper-motor/stepper-motor-without-gearbox/nema34-stepper-motor-85kgcm-torq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tabSelected="1" zoomScaleNormal="100" workbookViewId="0">
      <selection activeCell="K7" sqref="K7"/>
    </sheetView>
  </sheetViews>
  <sheetFormatPr defaultColWidth="31.7109375" defaultRowHeight="39.950000000000003" customHeight="1" x14ac:dyDescent="0.25"/>
  <cols>
    <col min="1" max="1" width="18.140625" style="3" customWidth="1"/>
    <col min="2" max="2" width="14" style="1" customWidth="1"/>
    <col min="3" max="3" width="18.140625" style="1" customWidth="1"/>
    <col min="4" max="4" width="15.140625" style="1" customWidth="1"/>
    <col min="5" max="5" width="16.42578125" style="1" customWidth="1"/>
    <col min="6" max="6" width="14.5703125" style="1" customWidth="1"/>
    <col min="7" max="7" width="15.5703125" style="1" customWidth="1"/>
    <col min="8" max="8" width="15.28515625" style="1" customWidth="1"/>
    <col min="9" max="9" width="16.7109375" style="1" customWidth="1"/>
    <col min="10" max="11" width="18.140625" style="1" customWidth="1"/>
    <col min="12" max="12" width="15.28515625" style="1" customWidth="1"/>
    <col min="13" max="14" width="18.140625" style="1" customWidth="1"/>
    <col min="15" max="15" width="22.42578125" style="1" customWidth="1"/>
    <col min="16" max="17" width="12.28515625" style="1" customWidth="1"/>
    <col min="18" max="18" width="17.85546875" style="1" customWidth="1"/>
    <col min="19" max="16384" width="31.7109375" style="1"/>
  </cols>
  <sheetData>
    <row r="1" spans="1:19" ht="39.950000000000003" customHeight="1" thickBot="1" x14ac:dyDescent="0.3">
      <c r="A1" s="35"/>
      <c r="B1" s="43" t="s">
        <v>25</v>
      </c>
      <c r="C1" s="44"/>
      <c r="D1" s="44"/>
      <c r="E1" s="44"/>
      <c r="F1" s="44"/>
      <c r="G1" s="44"/>
      <c r="H1" s="44"/>
      <c r="I1" s="45"/>
      <c r="J1" s="43" t="s">
        <v>24</v>
      </c>
      <c r="K1" s="44"/>
      <c r="L1" s="44"/>
      <c r="M1" s="44"/>
      <c r="N1" s="44"/>
      <c r="O1" s="43" t="s">
        <v>30</v>
      </c>
      <c r="P1" s="44"/>
      <c r="Q1" s="44"/>
      <c r="R1" s="45"/>
    </row>
    <row r="2" spans="1:19" s="2" customFormat="1" ht="95.25" customHeight="1" thickBot="1" x14ac:dyDescent="0.3">
      <c r="A2" s="12" t="s">
        <v>7</v>
      </c>
      <c r="B2" s="15" t="s">
        <v>8</v>
      </c>
      <c r="C2" s="13" t="s">
        <v>17</v>
      </c>
      <c r="D2" s="13" t="s">
        <v>9</v>
      </c>
      <c r="E2" s="13" t="s">
        <v>10</v>
      </c>
      <c r="F2" s="13" t="s">
        <v>15</v>
      </c>
      <c r="G2" s="13" t="s">
        <v>18</v>
      </c>
      <c r="H2" s="14" t="s">
        <v>16</v>
      </c>
      <c r="I2" s="12" t="s">
        <v>23</v>
      </c>
      <c r="J2" s="15" t="s">
        <v>14</v>
      </c>
      <c r="K2" s="13" t="s">
        <v>12</v>
      </c>
      <c r="L2" s="13" t="s">
        <v>5</v>
      </c>
      <c r="M2" s="14" t="s">
        <v>13</v>
      </c>
      <c r="N2" s="34" t="s">
        <v>6</v>
      </c>
      <c r="O2" s="15" t="s">
        <v>31</v>
      </c>
      <c r="P2" s="33" t="s">
        <v>26</v>
      </c>
      <c r="Q2" s="13" t="s">
        <v>28</v>
      </c>
      <c r="R2" s="36" t="s">
        <v>27</v>
      </c>
      <c r="S2" s="41" t="s">
        <v>33</v>
      </c>
    </row>
    <row r="3" spans="1:19" ht="39.950000000000003" customHeight="1" x14ac:dyDescent="0.25">
      <c r="A3" s="10" t="s">
        <v>0</v>
      </c>
      <c r="B3" s="16">
        <v>150</v>
      </c>
      <c r="C3" s="11">
        <f>C4+Table1[[#This Row],[Length (mm)]]</f>
        <v>1150</v>
      </c>
      <c r="D3" s="11">
        <v>10</v>
      </c>
      <c r="E3" s="11">
        <f>E4+D3</f>
        <v>35</v>
      </c>
      <c r="F3" s="11"/>
      <c r="G3" s="11"/>
      <c r="H3" s="17"/>
      <c r="I3" s="25"/>
      <c r="J3" s="16"/>
      <c r="K3" s="11"/>
      <c r="L3" s="11"/>
      <c r="M3" s="29"/>
      <c r="N3" s="37"/>
      <c r="O3" s="46"/>
      <c r="P3" s="47"/>
      <c r="Q3" s="48"/>
      <c r="R3" s="49"/>
      <c r="S3" s="49"/>
    </row>
    <row r="4" spans="1:19" ht="39.950000000000003" customHeight="1" x14ac:dyDescent="0.25">
      <c r="A4" s="6" t="s">
        <v>1</v>
      </c>
      <c r="B4" s="18"/>
      <c r="C4" s="4">
        <f>C5+Table1[[#This Row],[Length (mm)]]</f>
        <v>1000</v>
      </c>
      <c r="D4" s="4">
        <v>5</v>
      </c>
      <c r="E4" s="4">
        <f>E5+D4</f>
        <v>25</v>
      </c>
      <c r="F4" s="4">
        <f>Table1[[#This Row],[Cumulative Weight]]*(Table1[[#This Row],[Cumulative Length (mm)]]/1000)*(Table1[[#This Row],[Cumulative Length (mm)]]/1000)</f>
        <v>25</v>
      </c>
      <c r="G4" s="4">
        <f>Table1[[#This Row],[Intertia (kg·m²)]]*1</f>
        <v>25</v>
      </c>
      <c r="H4" s="19">
        <f>Table1[[#This Row],[Dynamic Torque]]+(Table1[[#This Row],[Cumulative Weight]]*9.8*((Table1[[#This Row],[Cumulative Length (mm)]]/10)/1000))</f>
        <v>49.5</v>
      </c>
      <c r="I4" s="26">
        <v>100</v>
      </c>
      <c r="J4" s="18">
        <v>8</v>
      </c>
      <c r="K4" s="4">
        <f>Table1[[#This Row],[Motor Stall Torque (Nm)]]*0.7</f>
        <v>5.6</v>
      </c>
      <c r="L4" s="4">
        <v>30</v>
      </c>
      <c r="M4" s="30">
        <v>0.6</v>
      </c>
      <c r="N4" s="38">
        <f>K4*L4*Table1[[#This Row],[Gearbox Efficiency (%)]]</f>
        <v>100.8</v>
      </c>
      <c r="O4" s="50" t="s">
        <v>41</v>
      </c>
      <c r="P4" s="47">
        <v>48</v>
      </c>
      <c r="Q4" s="48">
        <v>4.2</v>
      </c>
      <c r="R4" s="59" t="s">
        <v>29</v>
      </c>
      <c r="S4" s="60" t="s">
        <v>40</v>
      </c>
    </row>
    <row r="5" spans="1:19" ht="39.950000000000003" customHeight="1" x14ac:dyDescent="0.25">
      <c r="A5" s="7" t="s">
        <v>2</v>
      </c>
      <c r="B5" s="20"/>
      <c r="C5" s="5">
        <f>C6+Table1[[#This Row],[Length (mm)]]</f>
        <v>1000</v>
      </c>
      <c r="D5" s="5">
        <v>0</v>
      </c>
      <c r="E5" s="5">
        <f>E7+D6+D5</f>
        <v>20</v>
      </c>
      <c r="F5" s="5">
        <f>Table1[[#This Row],[Cumulative Weight]]*(Table1[[#This Row],[Cumulative Length (mm)]]/1000)*(Table1[[#This Row],[Cumulative Length (mm)]]/1000)</f>
        <v>20</v>
      </c>
      <c r="G5" s="5">
        <f>Table1[[#This Row],[Intertia (kg·m²)]]*1</f>
        <v>20</v>
      </c>
      <c r="H5" s="21">
        <f>Table1[[#This Row],[Dynamic Torque]]+(Table1[[#This Row],[Cumulative Weight]]*9.8*(Table1[[#This Row],[Cumulative Length (mm)]]/1000))</f>
        <v>216</v>
      </c>
      <c r="I5" s="27">
        <v>220</v>
      </c>
      <c r="J5" s="20">
        <v>12</v>
      </c>
      <c r="K5" s="5">
        <f>Table1[[#This Row],[Motor Stall Torque (Nm)]]*0.7</f>
        <v>8.3999999999999986</v>
      </c>
      <c r="L5" s="5">
        <v>50</v>
      </c>
      <c r="M5" s="31">
        <v>0.6</v>
      </c>
      <c r="N5" s="39">
        <f>K5*L5*Table1[[#This Row],[Gearbox Efficiency (%)]]</f>
        <v>251.99999999999994</v>
      </c>
      <c r="O5" s="51" t="s">
        <v>34</v>
      </c>
      <c r="P5" s="52">
        <v>48</v>
      </c>
      <c r="Q5" s="53">
        <v>4.2</v>
      </c>
      <c r="R5" s="54" t="s">
        <v>29</v>
      </c>
      <c r="S5" s="42" t="s">
        <v>32</v>
      </c>
    </row>
    <row r="6" spans="1:19" ht="39.950000000000003" customHeight="1" x14ac:dyDescent="0.25">
      <c r="A6" s="8" t="s">
        <v>22</v>
      </c>
      <c r="B6" s="18">
        <v>400</v>
      </c>
      <c r="C6" s="4">
        <f>C7+Table1[[#This Row],[Length (mm)]]</f>
        <v>1000</v>
      </c>
      <c r="D6" s="4">
        <v>7</v>
      </c>
      <c r="E6" s="4"/>
      <c r="F6" s="4">
        <f>Table1[[#This Row],[Cumulative Weight]]*(Table1[[#This Row],[Cumulative Length (mm)]]/1000)*(Table1[[#This Row],[Cumulative Length (mm)]]/1000)</f>
        <v>0</v>
      </c>
      <c r="G6" s="4">
        <f>Table1[[#This Row],[Intertia (kg·m²)]]*1</f>
        <v>0</v>
      </c>
      <c r="H6" s="19">
        <f>Table1[[#This Row],[Dynamic Torque]]+(Table1[[#This Row],[Cumulative Weight]]*9.8*(Table1[[#This Row],[Cumulative Length (mm)]]/1000))</f>
        <v>0</v>
      </c>
      <c r="I6" s="26"/>
      <c r="J6" s="18"/>
      <c r="K6" s="4"/>
      <c r="L6" s="4"/>
      <c r="M6" s="30"/>
      <c r="N6" s="38"/>
      <c r="O6" s="50"/>
      <c r="P6" s="47"/>
      <c r="Q6" s="48"/>
      <c r="R6" s="49"/>
      <c r="S6" s="49"/>
    </row>
    <row r="7" spans="1:19" ht="39.950000000000003" customHeight="1" x14ac:dyDescent="0.25">
      <c r="A7" s="8" t="s">
        <v>3</v>
      </c>
      <c r="B7" s="18"/>
      <c r="C7" s="4">
        <f>C8+Table1[[#This Row],[Length (mm)]]</f>
        <v>600</v>
      </c>
      <c r="D7" s="4">
        <v>0</v>
      </c>
      <c r="E7" s="4">
        <f>E9+D8+D7</f>
        <v>13</v>
      </c>
      <c r="F7" s="4">
        <f>Table1[[#This Row],[Cumulative Weight]]*(Table1[[#This Row],[Cumulative Length (mm)]]/1000)*(Table1[[#This Row],[Cumulative Length (mm)]]/1000)</f>
        <v>4.68</v>
      </c>
      <c r="G7" s="4">
        <f>Table1[[#This Row],[Intertia (kg·m²)]]*1</f>
        <v>4.68</v>
      </c>
      <c r="H7" s="19">
        <f>Table1[[#This Row],[Dynamic Torque]]+(Table1[[#This Row],[Cumulative Weight]]*9.8*(Table1[[#This Row],[Cumulative Length (mm)]]/1000))</f>
        <v>81.12</v>
      </c>
      <c r="I7" s="26">
        <v>100</v>
      </c>
      <c r="J7" s="18">
        <v>8</v>
      </c>
      <c r="K7" s="4">
        <f>Table1[[#This Row],[Motor Stall Torque (Nm)]]*0.7</f>
        <v>5.6</v>
      </c>
      <c r="L7" s="4">
        <v>30</v>
      </c>
      <c r="M7" s="30">
        <v>0.6</v>
      </c>
      <c r="N7" s="38">
        <f>K7*L7*Table1[[#This Row],[Gearbox Efficiency (%)]]</f>
        <v>100.8</v>
      </c>
      <c r="O7" s="50" t="s">
        <v>41</v>
      </c>
      <c r="P7" s="47">
        <v>48</v>
      </c>
      <c r="Q7" s="48">
        <v>4.2</v>
      </c>
      <c r="R7" s="59" t="s">
        <v>29</v>
      </c>
      <c r="S7" s="60" t="s">
        <v>40</v>
      </c>
    </row>
    <row r="8" spans="1:19" ht="39.950000000000003" customHeight="1" x14ac:dyDescent="0.25">
      <c r="A8" s="8" t="s">
        <v>21</v>
      </c>
      <c r="B8" s="18">
        <v>400</v>
      </c>
      <c r="C8" s="4">
        <f>C9+Table1[[#This Row],[Length (mm)]]</f>
        <v>600</v>
      </c>
      <c r="D8" s="4">
        <v>4</v>
      </c>
      <c r="E8" s="4"/>
      <c r="F8" s="4">
        <f>Table1[[#This Row],[Cumulative Weight]]*(Table1[[#This Row],[Cumulative Length (mm)]]/1000)*(Table1[[#This Row],[Cumulative Length (mm)]]/1000)</f>
        <v>0</v>
      </c>
      <c r="G8" s="4">
        <f>Table1[[#This Row],[Intertia (kg·m²)]]*1</f>
        <v>0</v>
      </c>
      <c r="H8" s="19">
        <f>Table1[[#This Row],[Dynamic Torque]]+(Table1[[#This Row],[Cumulative Weight]]*9.8*(Table1[[#This Row],[Cumulative Length (mm)]]/1000))</f>
        <v>0</v>
      </c>
      <c r="I8" s="26"/>
      <c r="J8" s="18"/>
      <c r="K8" s="4"/>
      <c r="L8" s="4"/>
      <c r="M8" s="30"/>
      <c r="N8" s="38"/>
      <c r="O8" s="50"/>
      <c r="P8" s="47"/>
      <c r="Q8" s="48"/>
      <c r="R8" s="49"/>
      <c r="S8" s="49"/>
    </row>
    <row r="9" spans="1:19" ht="39.950000000000003" customHeight="1" x14ac:dyDescent="0.25">
      <c r="A9" s="8" t="s">
        <v>4</v>
      </c>
      <c r="B9" s="18"/>
      <c r="C9" s="4">
        <f>C10+Table1[[#This Row],[Length (mm)]]</f>
        <v>200</v>
      </c>
      <c r="D9" s="4">
        <v>0</v>
      </c>
      <c r="E9" s="4">
        <f>E11+D10+D9</f>
        <v>9</v>
      </c>
      <c r="F9" s="4">
        <f>Table1[[#This Row],[Cumulative Weight]]*(Table1[[#This Row],[Cumulative Length (mm)]]/1000)*(Table1[[#This Row],[Cumulative Length (mm)]]/1000)</f>
        <v>0.36000000000000004</v>
      </c>
      <c r="G9" s="4">
        <f>Table1[[#This Row],[Intertia (kg·m²)]]*1</f>
        <v>0.36000000000000004</v>
      </c>
      <c r="H9" s="19">
        <f>Table1[[#This Row],[Dynamic Torque]]+(Table1[[#This Row],[Cumulative Weight]]*9.8*(Table1[[#This Row],[Cumulative Length (mm)]]/1000))</f>
        <v>18</v>
      </c>
      <c r="I9" s="26">
        <v>25</v>
      </c>
      <c r="J9" s="18">
        <v>2.5</v>
      </c>
      <c r="K9" s="4">
        <f>Table1[[#This Row],[Motor Stall Torque (Nm)]]*0.7</f>
        <v>1.75</v>
      </c>
      <c r="L9" s="4">
        <v>30</v>
      </c>
      <c r="M9" s="30">
        <v>0.6</v>
      </c>
      <c r="N9" s="38">
        <f>K9*L9*Table1[[#This Row],[Gearbox Efficiency (%)]]</f>
        <v>31.5</v>
      </c>
      <c r="O9" s="50" t="s">
        <v>38</v>
      </c>
      <c r="P9" s="47">
        <v>24</v>
      </c>
      <c r="Q9" s="48">
        <v>4.2</v>
      </c>
      <c r="R9" s="49" t="s">
        <v>37</v>
      </c>
      <c r="S9" s="60" t="s">
        <v>39</v>
      </c>
    </row>
    <row r="10" spans="1:19" ht="39.950000000000003" customHeight="1" x14ac:dyDescent="0.25">
      <c r="A10" s="8" t="s">
        <v>19</v>
      </c>
      <c r="B10" s="18">
        <v>200</v>
      </c>
      <c r="C10" s="4">
        <f>C11+Table1[[#This Row],[Length (mm)]]</f>
        <v>200</v>
      </c>
      <c r="D10" s="4">
        <v>2</v>
      </c>
      <c r="E10" s="4"/>
      <c r="F10" s="4">
        <f>Table1[[#This Row],[Cumulative Weight]]*(Table1[[#This Row],[Cumulative Length (mm)]]/1000)*(Table1[[#This Row],[Cumulative Length (mm)]]/1000)</f>
        <v>0</v>
      </c>
      <c r="G10" s="4">
        <f>Table1[[#This Row],[Intertia (kg·m²)]]*1</f>
        <v>0</v>
      </c>
      <c r="H10" s="19">
        <f>Table1[[#This Row],[Dynamic Torque]]+(Table1[[#This Row],[Cumulative Weight]]*9.8*(Table1[[#This Row],[Cumulative Length (mm)]]/1000))</f>
        <v>0</v>
      </c>
      <c r="I10" s="26"/>
      <c r="J10" s="18"/>
      <c r="K10" s="4"/>
      <c r="L10" s="4"/>
      <c r="M10" s="30"/>
      <c r="N10" s="38"/>
      <c r="O10" s="50"/>
      <c r="P10" s="47"/>
      <c r="Q10" s="48"/>
      <c r="R10" s="49"/>
      <c r="S10" s="49"/>
    </row>
    <row r="11" spans="1:19" ht="39.950000000000003" customHeight="1" x14ac:dyDescent="0.25">
      <c r="A11" s="8" t="s">
        <v>20</v>
      </c>
      <c r="B11" s="18"/>
      <c r="C11" s="4">
        <v>0</v>
      </c>
      <c r="D11" s="4">
        <v>2</v>
      </c>
      <c r="E11" s="4">
        <f>D12+D11</f>
        <v>7</v>
      </c>
      <c r="F11" s="4">
        <f>Table1[[#This Row],[Cumulative Weight]]*(Table1[[#This Row],[Cumulative Length (mm)]]/1000)*(Table1[[#This Row],[Cumulative Length (mm)]]/1000)</f>
        <v>0</v>
      </c>
      <c r="G11" s="4">
        <f>Table1[[#This Row],[Intertia (kg·m²)]]*1</f>
        <v>0</v>
      </c>
      <c r="H11" s="19">
        <f>Table1[[#This Row],[Dynamic Torque]]+(Table1[[#This Row],[Cumulative Weight]]*9.8*(100/1000))</f>
        <v>6.8600000000000012</v>
      </c>
      <c r="I11" s="26">
        <v>7</v>
      </c>
      <c r="J11" s="18">
        <v>1.2</v>
      </c>
      <c r="K11" s="4">
        <f>Table1[[#This Row],[Motor Stall Torque (Nm)]]*0.7</f>
        <v>0.84</v>
      </c>
      <c r="L11" s="4">
        <v>10</v>
      </c>
      <c r="M11" s="30">
        <v>0.95</v>
      </c>
      <c r="N11" s="38">
        <f>K11*L11*Table1[[#This Row],[Gearbox Efficiency (%)]]</f>
        <v>7.9799999999999995</v>
      </c>
      <c r="O11" s="50" t="s">
        <v>35</v>
      </c>
      <c r="P11" s="47">
        <v>24</v>
      </c>
      <c r="Q11" s="48">
        <v>4.2</v>
      </c>
      <c r="R11" s="59" t="s">
        <v>29</v>
      </c>
      <c r="S11" s="60" t="s">
        <v>36</v>
      </c>
    </row>
    <row r="12" spans="1:19" ht="39.950000000000003" customHeight="1" thickBot="1" x14ac:dyDescent="0.3">
      <c r="A12" s="9" t="s">
        <v>11</v>
      </c>
      <c r="B12" s="22">
        <v>50</v>
      </c>
      <c r="C12" s="23">
        <v>0</v>
      </c>
      <c r="D12" s="23">
        <v>5</v>
      </c>
      <c r="E12" s="23"/>
      <c r="F12" s="23">
        <f>Table1[[#This Row],[Cumulative Weight]]*(Table1[[#This Row],[Cumulative Length (mm)]]/1000)*(Table1[[#This Row],[Cumulative Length (mm)]]/1000)</f>
        <v>0</v>
      </c>
      <c r="G12" s="23"/>
      <c r="H12" s="24">
        <f>Table1[[#This Row],[Cumulative Weight]]*9.8*B11</f>
        <v>0</v>
      </c>
      <c r="I12" s="28"/>
      <c r="J12" s="22"/>
      <c r="K12" s="23"/>
      <c r="L12" s="23"/>
      <c r="M12" s="32"/>
      <c r="N12" s="40"/>
      <c r="O12" s="55"/>
      <c r="P12" s="56"/>
      <c r="Q12" s="57"/>
      <c r="R12" s="58"/>
      <c r="S12" s="58"/>
    </row>
  </sheetData>
  <mergeCells count="3">
    <mergeCell ref="B1:I1"/>
    <mergeCell ref="J1:N1"/>
    <mergeCell ref="O1:R1"/>
  </mergeCells>
  <hyperlinks>
    <hyperlink ref="S5" r:id="rId1"/>
    <hyperlink ref="S11" r:id="rId2"/>
    <hyperlink ref="S9" r:id="rId3"/>
    <hyperlink ref="S4" r:id="rId4"/>
    <hyperlink ref="S7" r:id="rId5"/>
  </hyperlinks>
  <pageMargins left="0.7" right="0.7" top="0.75" bottom="0.75" header="0.3" footer="0.3"/>
  <pageSetup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2026-01-10T20:01:03Z</dcterms:modified>
</cp:coreProperties>
</file>